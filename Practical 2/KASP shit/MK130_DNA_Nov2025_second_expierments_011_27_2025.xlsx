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de357c2d4b6bc6/Bilder/Fotografie/Dokumente/GitHub/CROP-SHIT/KASP shit/"/>
    </mc:Choice>
  </mc:AlternateContent>
  <xr:revisionPtr revIDLastSave="1" documentId="13_ncr:1_{5E0F67D6-8FA3-4F27-9EEF-4B721B40C8E9}" xr6:coauthVersionLast="47" xr6:coauthVersionMax="47" xr10:uidLastSave="{237BBB92-3CAB-42A3-B2CD-A2F02F392821}"/>
  <bookViews>
    <workbookView xWindow="-108" yWindow="-108" windowWidth="30936" windowHeight="16776" xr2:uid="{4B4DA508-C28A-4365-9D93-F3AC8FA76443}"/>
  </bookViews>
  <sheets>
    <sheet name="MK130_DNA" sheetId="1" r:id="rId1"/>
    <sheet name="Sheet1" sheetId="2" r:id="rId2"/>
  </sheets>
  <definedNames>
    <definedName name="_xlnm._FilterDatabase" localSheetId="0" hidden="1">MK130_DNA!$H$1:$H$62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" i="1" l="1"/>
  <c r="S28" i="1"/>
</calcChain>
</file>

<file path=xl/sharedStrings.xml><?xml version="1.0" encoding="utf-8"?>
<sst xmlns="http://schemas.openxmlformats.org/spreadsheetml/2006/main" count="460" uniqueCount="149">
  <si>
    <t>Genotype</t>
  </si>
  <si>
    <t>rep</t>
  </si>
  <si>
    <t>Pos.</t>
  </si>
  <si>
    <t xml:space="preserve">extraction </t>
  </si>
  <si>
    <t>Qbit</t>
  </si>
  <si>
    <t>date</t>
  </si>
  <si>
    <t>ng/µl</t>
  </si>
  <si>
    <t>Assyst-078</t>
  </si>
  <si>
    <t>A1</t>
  </si>
  <si>
    <t>B1</t>
  </si>
  <si>
    <t>C1</t>
  </si>
  <si>
    <t>D1</t>
  </si>
  <si>
    <t>E1</t>
  </si>
  <si>
    <t>Assyst-120</t>
  </si>
  <si>
    <t>F1</t>
  </si>
  <si>
    <t>G1</t>
  </si>
  <si>
    <t>H1</t>
  </si>
  <si>
    <t>A2</t>
  </si>
  <si>
    <t>B2</t>
  </si>
  <si>
    <t>Assyst-145</t>
  </si>
  <si>
    <t>C2</t>
  </si>
  <si>
    <t>D2</t>
  </si>
  <si>
    <t>E2</t>
  </si>
  <si>
    <t>F2</t>
  </si>
  <si>
    <t>G2</t>
  </si>
  <si>
    <t>Assyst-210</t>
  </si>
  <si>
    <t>H2</t>
  </si>
  <si>
    <t>A3</t>
  </si>
  <si>
    <t>B3</t>
  </si>
  <si>
    <t>C3</t>
  </si>
  <si>
    <t>D3</t>
  </si>
  <si>
    <t>Assyst-211</t>
  </si>
  <si>
    <t>E3</t>
  </si>
  <si>
    <t>F3</t>
  </si>
  <si>
    <t>G3</t>
  </si>
  <si>
    <t>H3</t>
  </si>
  <si>
    <t>A4</t>
  </si>
  <si>
    <t>Assyst-219</t>
  </si>
  <si>
    <t>B4</t>
  </si>
  <si>
    <t>C4</t>
  </si>
  <si>
    <t>D4</t>
  </si>
  <si>
    <t>E4</t>
  </si>
  <si>
    <t>F4</t>
  </si>
  <si>
    <t>Assyst-271</t>
  </si>
  <si>
    <t>G4</t>
  </si>
  <si>
    <t>H4</t>
  </si>
  <si>
    <t>A5</t>
  </si>
  <si>
    <t>B5</t>
  </si>
  <si>
    <t>C5</t>
  </si>
  <si>
    <t>Assyst-273</t>
  </si>
  <si>
    <t>D5</t>
  </si>
  <si>
    <t>E5</t>
  </si>
  <si>
    <t>F5</t>
  </si>
  <si>
    <t>G5</t>
  </si>
  <si>
    <t>H5</t>
  </si>
  <si>
    <t>Assyst-290</t>
  </si>
  <si>
    <t>A6</t>
  </si>
  <si>
    <t>B6</t>
  </si>
  <si>
    <t>C6</t>
  </si>
  <si>
    <t>D6</t>
  </si>
  <si>
    <t>E6</t>
  </si>
  <si>
    <t>Assyst-419</t>
  </si>
  <si>
    <t>F6</t>
  </si>
  <si>
    <t>G6</t>
  </si>
  <si>
    <t>H6</t>
  </si>
  <si>
    <t>A7</t>
  </si>
  <si>
    <t>B7</t>
  </si>
  <si>
    <t>Assyst-424</t>
  </si>
  <si>
    <t>C7</t>
  </si>
  <si>
    <t>D7</t>
  </si>
  <si>
    <t>E7</t>
  </si>
  <si>
    <t>f/</t>
  </si>
  <si>
    <t>G7</t>
  </si>
  <si>
    <t>Assyst-427</t>
  </si>
  <si>
    <t>H7</t>
  </si>
  <si>
    <t>A8</t>
  </si>
  <si>
    <t>B8</t>
  </si>
  <si>
    <t>C8</t>
  </si>
  <si>
    <t>D8</t>
  </si>
  <si>
    <t>ASSYST_ID</t>
  </si>
  <si>
    <t>Name</t>
  </si>
  <si>
    <t>TYPE</t>
  </si>
  <si>
    <t>BnASSYST-078</t>
  </si>
  <si>
    <t>Express 617</t>
  </si>
  <si>
    <t>Winter OSR</t>
  </si>
  <si>
    <t>BnASSYST-120</t>
  </si>
  <si>
    <t>Darmor</t>
  </si>
  <si>
    <t>BnASSYST-145</t>
  </si>
  <si>
    <t>Hokkai 3-Go</t>
  </si>
  <si>
    <t>BnASSYST-210</t>
  </si>
  <si>
    <t>RED RUSSIAN</t>
  </si>
  <si>
    <t>Siberian kale</t>
  </si>
  <si>
    <t>BnASSYST-211</t>
  </si>
  <si>
    <t>SIBERISCHE_BOERENKOOL</t>
  </si>
  <si>
    <t>BnASSYST-219</t>
  </si>
  <si>
    <t>GRÜNER SCHNITTKOHL</t>
  </si>
  <si>
    <t>BnASSYST-271</t>
  </si>
  <si>
    <t>Liho</t>
  </si>
  <si>
    <t>Spring OSR</t>
  </si>
  <si>
    <t>BnASSYST-273</t>
  </si>
  <si>
    <t>Bronowski</t>
  </si>
  <si>
    <t>BnASSYST-290</t>
  </si>
  <si>
    <t>Ability</t>
  </si>
  <si>
    <t>BnASSYST-419</t>
  </si>
  <si>
    <t>Angus</t>
  </si>
  <si>
    <t>swede</t>
  </si>
  <si>
    <t>BnASSYST-424</t>
  </si>
  <si>
    <t>Conqueror Bronze Green Top</t>
  </si>
  <si>
    <t>BnASSYST-427</t>
  </si>
  <si>
    <t>Essex Model</t>
  </si>
  <si>
    <t>Allele</t>
  </si>
  <si>
    <t>1+2</t>
  </si>
  <si>
    <t>5+6</t>
  </si>
  <si>
    <t>7+5</t>
  </si>
  <si>
    <t>A</t>
  </si>
  <si>
    <t>B</t>
  </si>
  <si>
    <t>C</t>
  </si>
  <si>
    <t>D</t>
  </si>
  <si>
    <t>E</t>
  </si>
  <si>
    <t>F</t>
  </si>
  <si>
    <t>G</t>
  </si>
  <si>
    <t>H</t>
  </si>
  <si>
    <t>NTC</t>
  </si>
  <si>
    <t>KASP master</t>
  </si>
  <si>
    <t>Assay</t>
  </si>
  <si>
    <t>dispense</t>
  </si>
  <si>
    <t>RLM7</t>
  </si>
  <si>
    <t>RLM9</t>
  </si>
  <si>
    <t>RLM3</t>
  </si>
  <si>
    <t>RLM4</t>
  </si>
  <si>
    <t>RLM1</t>
  </si>
  <si>
    <t>RLM2</t>
  </si>
  <si>
    <t>AA</t>
  </si>
  <si>
    <t>CC</t>
  </si>
  <si>
    <t>Non-amplification</t>
  </si>
  <si>
    <t>Amplification</t>
  </si>
  <si>
    <t>PCR reaction</t>
  </si>
  <si>
    <t>X</t>
  </si>
  <si>
    <t>DNA Plate 27/11/2025 MK130</t>
  </si>
  <si>
    <t>Gene R</t>
  </si>
  <si>
    <t>Mix 15 µL from column 1 and 15 µL from column 2.</t>
  </si>
  <si>
    <t>Mix 15 µL from column  5 and 15 µL from column 7.</t>
  </si>
  <si>
    <t>Mix 15 µL from column  5 and 15 µL from column 6.</t>
  </si>
  <si>
    <t>This confusing result could be due to a mix-up between samples 427 and 424</t>
  </si>
  <si>
    <t>FAM/HEX</t>
  </si>
  <si>
    <t>FAM</t>
  </si>
  <si>
    <t>HEX</t>
  </si>
  <si>
    <t>-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</si>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</sst>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343A40"/>
      <name val="Verdana"/>
      <family val="2"/>
    </font>
    <font>
      <sz val="16"/>
      <color rgb="FF4D4C4C"/>
      <name val="Verdana"/>
      <family val="2"/>
    </font>
    <font>
      <sz val="8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BDBDBD"/>
      </left>
      <right style="medium">
        <color rgb="FFBDBDBD"/>
      </right>
      <top style="medium">
        <color rgb="FFBDBDBD"/>
      </top>
      <bottom style="medium">
        <color rgb="FFBDBDB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1" fillId="0" borderId="0" xfId="0" applyFont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5" fillId="6" borderId="0" xfId="0" applyFont="1" applyFill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793749</xdr:colOff>
      <xdr:row>12</xdr:row>
      <xdr:rowOff>169335</xdr:rowOff>
    </xdr:from>
    <xdr:to>
      <xdr:col>14</xdr:col>
      <xdr:colOff>608661</xdr:colOff>
      <xdr:row>43</xdr:row>
      <xdr:rowOff>18098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3F941E-AE99-7021-2CB0-F72CBF942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8999" y="2402418"/>
          <a:ext cx="5291787" cy="6590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2B0E-2C05-41D9-B163-A677596418DC}">
  <dimension ref="A1:Z62"/>
  <sheetViews>
    <sheetView tabSelected="1" topLeftCell="G14" zoomScale="115" zoomScaleNormal="115" workbookViewId="0">
      <selection activeCell="H17" sqref="H17"/>
    </sheetView>
  </sheetViews>
  <sheetFormatPr baseColWidth="10" defaultColWidth="10.77734375" defaultRowHeight="14.4" x14ac:dyDescent="0.3"/>
  <cols>
    <col min="1" max="1" width="24.21875" style="13" customWidth="1"/>
    <col min="2" max="3" width="10.77734375" style="13"/>
    <col min="4" max="4" width="20.77734375" style="13" customWidth="1"/>
    <col min="5" max="5" width="10.77734375" style="13"/>
    <col min="6" max="6" width="24.44140625" style="13" customWidth="1"/>
    <col min="7" max="7" width="29" style="13" customWidth="1"/>
    <col min="8" max="8" width="62.77734375" bestFit="1" customWidth="1"/>
    <col min="9" max="9" width="16.88671875" customWidth="1"/>
    <col min="10" max="10" width="7.77734375" customWidth="1"/>
    <col min="11" max="11" width="24.77734375" bestFit="1" customWidth="1"/>
    <col min="12" max="17" width="9.77734375" bestFit="1" customWidth="1"/>
    <col min="18" max="18" width="11.109375" bestFit="1" customWidth="1"/>
    <col min="19" max="19" width="13.6640625" customWidth="1"/>
    <col min="20" max="20" width="13.77734375" customWidth="1"/>
    <col min="21" max="21" width="12.44140625" customWidth="1"/>
    <col min="22" max="22" width="8.33203125" customWidth="1"/>
  </cols>
  <sheetData>
    <row r="1" spans="1:22" x14ac:dyDescent="0.3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136</v>
      </c>
      <c r="G1" s="31" t="s">
        <v>110</v>
      </c>
      <c r="H1" s="32" t="s">
        <v>144</v>
      </c>
    </row>
    <row r="2" spans="1:22" ht="15" thickBot="1" x14ac:dyDescent="0.35">
      <c r="A2" s="4"/>
      <c r="B2" s="4"/>
      <c r="C2" s="4"/>
      <c r="D2" s="4" t="s">
        <v>5</v>
      </c>
      <c r="E2" s="4" t="s">
        <v>6</v>
      </c>
      <c r="F2" s="4"/>
      <c r="G2" s="4"/>
      <c r="H2" s="33" t="s">
        <v>147</v>
      </c>
      <c r="K2" t="s">
        <v>138</v>
      </c>
    </row>
    <row r="3" spans="1:22" x14ac:dyDescent="0.3">
      <c r="A3" s="4" t="s">
        <v>7</v>
      </c>
      <c r="B3" s="4">
        <v>6</v>
      </c>
      <c r="C3" s="4" t="s">
        <v>8</v>
      </c>
      <c r="D3" s="5">
        <v>45979</v>
      </c>
      <c r="E3" s="6">
        <v>30.067</v>
      </c>
      <c r="F3" s="20" t="s">
        <v>135</v>
      </c>
      <c r="G3" s="20" t="s">
        <v>132</v>
      </c>
      <c r="H3" s="33" t="s">
        <v>145</v>
      </c>
      <c r="J3" s="14"/>
      <c r="K3" s="26">
        <v>1</v>
      </c>
      <c r="L3" s="26">
        <v>2</v>
      </c>
      <c r="M3" s="26">
        <v>3</v>
      </c>
      <c r="N3" s="26">
        <v>4</v>
      </c>
      <c r="O3" s="26">
        <v>5</v>
      </c>
      <c r="P3" s="26">
        <v>6</v>
      </c>
      <c r="Q3" s="26">
        <v>7</v>
      </c>
      <c r="R3" s="26">
        <v>8</v>
      </c>
      <c r="S3" s="26">
        <v>9</v>
      </c>
      <c r="T3" s="26">
        <v>10</v>
      </c>
      <c r="U3" s="26">
        <v>11</v>
      </c>
      <c r="V3" s="27">
        <v>12</v>
      </c>
    </row>
    <row r="4" spans="1:22" x14ac:dyDescent="0.3">
      <c r="A4" s="4" t="s">
        <v>7</v>
      </c>
      <c r="B4" s="4">
        <v>7</v>
      </c>
      <c r="C4" s="4" t="s">
        <v>9</v>
      </c>
      <c r="D4" s="5">
        <v>45979</v>
      </c>
      <c r="E4" s="6">
        <v>11.965999999999999</v>
      </c>
      <c r="F4" s="20" t="s">
        <v>135</v>
      </c>
      <c r="G4" s="20" t="s">
        <v>132</v>
      </c>
      <c r="H4" s="33" t="s">
        <v>145</v>
      </c>
      <c r="J4" s="28" t="s">
        <v>114</v>
      </c>
      <c r="K4" s="22" t="s">
        <v>7</v>
      </c>
      <c r="L4" s="13" t="s">
        <v>13</v>
      </c>
      <c r="M4" s="22" t="s">
        <v>25</v>
      </c>
      <c r="N4" s="13" t="s">
        <v>31</v>
      </c>
      <c r="O4" s="22" t="s">
        <v>43</v>
      </c>
      <c r="P4" s="22" t="s">
        <v>55</v>
      </c>
      <c r="Q4" s="13" t="s">
        <v>61</v>
      </c>
      <c r="R4" s="13" t="s">
        <v>73</v>
      </c>
      <c r="S4" s="22" t="s">
        <v>111</v>
      </c>
      <c r="T4" s="22" t="s">
        <v>112</v>
      </c>
      <c r="U4" s="22" t="s">
        <v>113</v>
      </c>
      <c r="V4" s="16"/>
    </row>
    <row r="5" spans="1:22" x14ac:dyDescent="0.3">
      <c r="A5" s="4" t="s">
        <v>7</v>
      </c>
      <c r="B5" s="4">
        <v>8</v>
      </c>
      <c r="C5" s="4" t="s">
        <v>10</v>
      </c>
      <c r="D5" s="5">
        <v>45979</v>
      </c>
      <c r="E5" s="6">
        <v>8.9803999999999995</v>
      </c>
      <c r="F5" s="20" t="s">
        <v>135</v>
      </c>
      <c r="G5" s="20" t="s">
        <v>132</v>
      </c>
      <c r="H5" s="33" t="s">
        <v>145</v>
      </c>
      <c r="J5" s="28" t="s">
        <v>115</v>
      </c>
      <c r="K5" s="22" t="s">
        <v>7</v>
      </c>
      <c r="L5" s="13" t="s">
        <v>13</v>
      </c>
      <c r="M5" s="22" t="s">
        <v>25</v>
      </c>
      <c r="N5" s="13" t="s">
        <v>37</v>
      </c>
      <c r="O5" s="22" t="s">
        <v>43</v>
      </c>
      <c r="P5" s="22" t="s">
        <v>55</v>
      </c>
      <c r="Q5" s="13" t="s">
        <v>61</v>
      </c>
      <c r="R5" s="13" t="s">
        <v>73</v>
      </c>
      <c r="S5" s="22" t="s">
        <v>111</v>
      </c>
      <c r="T5" s="22" t="s">
        <v>112</v>
      </c>
      <c r="U5" s="22" t="s">
        <v>113</v>
      </c>
      <c r="V5" s="16"/>
    </row>
    <row r="6" spans="1:22" x14ac:dyDescent="0.3">
      <c r="A6" s="4" t="s">
        <v>7</v>
      </c>
      <c r="B6" s="4">
        <v>9</v>
      </c>
      <c r="C6" s="4" t="s">
        <v>11</v>
      </c>
      <c r="D6" s="5">
        <v>45979</v>
      </c>
      <c r="E6" s="6">
        <v>22.321999999999999</v>
      </c>
      <c r="F6" s="20" t="s">
        <v>135</v>
      </c>
      <c r="G6" s="20" t="s">
        <v>132</v>
      </c>
      <c r="H6" s="33" t="s">
        <v>145</v>
      </c>
      <c r="J6" s="28" t="s">
        <v>116</v>
      </c>
      <c r="K6" s="22" t="s">
        <v>7</v>
      </c>
      <c r="L6" s="22" t="s">
        <v>19</v>
      </c>
      <c r="M6" s="13" t="s">
        <v>25</v>
      </c>
      <c r="N6" s="13" t="s">
        <v>37</v>
      </c>
      <c r="O6" s="22" t="s">
        <v>43</v>
      </c>
      <c r="P6" s="22" t="s">
        <v>55</v>
      </c>
      <c r="Q6" s="24" t="s">
        <v>67</v>
      </c>
      <c r="R6" s="13" t="s">
        <v>73</v>
      </c>
      <c r="S6" s="22" t="s">
        <v>111</v>
      </c>
      <c r="T6" s="22" t="s">
        <v>112</v>
      </c>
      <c r="U6" s="25" t="s">
        <v>113</v>
      </c>
      <c r="V6" s="16"/>
    </row>
    <row r="7" spans="1:22" x14ac:dyDescent="0.3">
      <c r="A7" s="4" t="s">
        <v>7</v>
      </c>
      <c r="B7" s="4">
        <v>10</v>
      </c>
      <c r="C7" s="4" t="s">
        <v>12</v>
      </c>
      <c r="D7" s="5">
        <v>45979</v>
      </c>
      <c r="E7" s="6">
        <v>6.5580999999999996</v>
      </c>
      <c r="F7" s="20" t="s">
        <v>135</v>
      </c>
      <c r="G7" s="20" t="s">
        <v>132</v>
      </c>
      <c r="H7" s="33" t="s">
        <v>145</v>
      </c>
      <c r="J7" s="28" t="s">
        <v>117</v>
      </c>
      <c r="K7" s="22" t="s">
        <v>7</v>
      </c>
      <c r="L7" s="22" t="s">
        <v>19</v>
      </c>
      <c r="M7" s="22" t="s">
        <v>25</v>
      </c>
      <c r="N7" s="13" t="s">
        <v>37</v>
      </c>
      <c r="O7" s="22" t="s">
        <v>49</v>
      </c>
      <c r="P7" s="22" t="s">
        <v>55</v>
      </c>
      <c r="Q7" s="24" t="s">
        <v>67</v>
      </c>
      <c r="R7" s="24" t="s">
        <v>73</v>
      </c>
      <c r="S7" s="22" t="s">
        <v>111</v>
      </c>
      <c r="T7" s="22" t="s">
        <v>112</v>
      </c>
      <c r="U7" s="25" t="s">
        <v>113</v>
      </c>
      <c r="V7" s="16"/>
    </row>
    <row r="8" spans="1:22" x14ac:dyDescent="0.3">
      <c r="A8" s="4" t="s">
        <v>13</v>
      </c>
      <c r="B8" s="4">
        <v>6</v>
      </c>
      <c r="C8" s="4" t="s">
        <v>14</v>
      </c>
      <c r="D8" s="5">
        <v>45979</v>
      </c>
      <c r="E8" s="6">
        <v>25.36</v>
      </c>
      <c r="F8" s="4" t="s">
        <v>134</v>
      </c>
      <c r="G8" s="4" t="s">
        <v>137</v>
      </c>
      <c r="H8" s="33" t="s">
        <v>147</v>
      </c>
      <c r="J8" s="28" t="s">
        <v>118</v>
      </c>
      <c r="K8" s="22" t="s">
        <v>7</v>
      </c>
      <c r="L8" s="22" t="s">
        <v>19</v>
      </c>
      <c r="M8" s="13" t="s">
        <v>31</v>
      </c>
      <c r="N8" s="13" t="s">
        <v>37</v>
      </c>
      <c r="O8" s="22" t="s">
        <v>49</v>
      </c>
      <c r="P8" s="22" t="s">
        <v>55</v>
      </c>
      <c r="Q8" s="24" t="s">
        <v>67</v>
      </c>
      <c r="R8" s="13" t="s">
        <v>122</v>
      </c>
      <c r="S8" s="22" t="s">
        <v>111</v>
      </c>
      <c r="T8" s="22" t="s">
        <v>112</v>
      </c>
      <c r="U8" s="25" t="s">
        <v>113</v>
      </c>
      <c r="V8" s="16"/>
    </row>
    <row r="9" spans="1:22" x14ac:dyDescent="0.3">
      <c r="A9" s="4" t="s">
        <v>13</v>
      </c>
      <c r="B9" s="4">
        <v>7</v>
      </c>
      <c r="C9" s="4" t="s">
        <v>15</v>
      </c>
      <c r="D9" s="5">
        <v>45979</v>
      </c>
      <c r="E9" s="6">
        <v>25.178000000000001</v>
      </c>
      <c r="F9" s="4" t="s">
        <v>134</v>
      </c>
      <c r="G9" s="4" t="s">
        <v>137</v>
      </c>
      <c r="H9" s="33" t="s">
        <v>147</v>
      </c>
      <c r="J9" s="28" t="s">
        <v>119</v>
      </c>
      <c r="K9" s="13" t="s">
        <v>13</v>
      </c>
      <c r="L9" s="22" t="s">
        <v>19</v>
      </c>
      <c r="M9" s="13" t="s">
        <v>31</v>
      </c>
      <c r="N9" s="13" t="s">
        <v>37</v>
      </c>
      <c r="O9" s="22" t="s">
        <v>49</v>
      </c>
      <c r="P9" s="13" t="s">
        <v>61</v>
      </c>
      <c r="Q9" s="24" t="s">
        <v>67</v>
      </c>
      <c r="R9" s="13" t="s">
        <v>122</v>
      </c>
      <c r="S9" s="22" t="s">
        <v>111</v>
      </c>
      <c r="T9" s="22" t="s">
        <v>112</v>
      </c>
      <c r="U9" s="25" t="s">
        <v>113</v>
      </c>
      <c r="V9" s="16"/>
    </row>
    <row r="10" spans="1:22" x14ac:dyDescent="0.3">
      <c r="A10" s="4" t="s">
        <v>13</v>
      </c>
      <c r="B10" s="4">
        <v>8</v>
      </c>
      <c r="C10" s="4" t="s">
        <v>16</v>
      </c>
      <c r="D10" s="5">
        <v>45979</v>
      </c>
      <c r="E10" s="6">
        <v>73.492999999999995</v>
      </c>
      <c r="F10" s="4" t="s">
        <v>134</v>
      </c>
      <c r="G10" s="4" t="s">
        <v>137</v>
      </c>
      <c r="H10" s="33" t="s">
        <v>147</v>
      </c>
      <c r="J10" s="28" t="s">
        <v>120</v>
      </c>
      <c r="K10" s="13" t="s">
        <v>13</v>
      </c>
      <c r="L10" s="22" t="s">
        <v>19</v>
      </c>
      <c r="M10" s="13" t="s">
        <v>31</v>
      </c>
      <c r="N10" s="22" t="s">
        <v>43</v>
      </c>
      <c r="O10" s="22" t="s">
        <v>49</v>
      </c>
      <c r="P10" s="13" t="s">
        <v>61</v>
      </c>
      <c r="Q10" s="13" t="s">
        <v>67</v>
      </c>
      <c r="R10" s="13" t="s">
        <v>122</v>
      </c>
      <c r="S10" s="22" t="s">
        <v>111</v>
      </c>
      <c r="T10" s="22" t="s">
        <v>112</v>
      </c>
      <c r="U10" s="22" t="s">
        <v>113</v>
      </c>
      <c r="V10" s="16"/>
    </row>
    <row r="11" spans="1:22" ht="15" thickBot="1" x14ac:dyDescent="0.35">
      <c r="A11" s="4" t="s">
        <v>13</v>
      </c>
      <c r="B11" s="4">
        <v>9</v>
      </c>
      <c r="C11" s="4" t="s">
        <v>17</v>
      </c>
      <c r="D11" s="5">
        <v>45979</v>
      </c>
      <c r="E11" s="6">
        <v>28.347999999999999</v>
      </c>
      <c r="F11" s="4" t="s">
        <v>134</v>
      </c>
      <c r="G11" s="4" t="s">
        <v>137</v>
      </c>
      <c r="H11" s="33" t="s">
        <v>147</v>
      </c>
      <c r="J11" s="29" t="s">
        <v>121</v>
      </c>
      <c r="K11" s="15" t="s">
        <v>13</v>
      </c>
      <c r="L11" s="23" t="s">
        <v>25</v>
      </c>
      <c r="M11" s="15" t="s">
        <v>31</v>
      </c>
      <c r="N11" s="23" t="s">
        <v>43</v>
      </c>
      <c r="O11" s="23" t="s">
        <v>49</v>
      </c>
      <c r="P11" s="15" t="s">
        <v>61</v>
      </c>
      <c r="Q11" s="15" t="s">
        <v>73</v>
      </c>
      <c r="R11" s="15" t="s">
        <v>122</v>
      </c>
      <c r="S11" s="23" t="s">
        <v>111</v>
      </c>
      <c r="T11" s="23" t="s">
        <v>112</v>
      </c>
      <c r="U11" s="23" t="s">
        <v>113</v>
      </c>
      <c r="V11" s="17"/>
    </row>
    <row r="12" spans="1:22" ht="14.55" customHeight="1" x14ac:dyDescent="0.3">
      <c r="A12" s="4" t="s">
        <v>13</v>
      </c>
      <c r="B12" s="4">
        <v>10</v>
      </c>
      <c r="C12" s="4" t="s">
        <v>18</v>
      </c>
      <c r="D12" s="5">
        <v>45979</v>
      </c>
      <c r="E12" s="6">
        <v>11.586</v>
      </c>
      <c r="F12" s="4" t="s">
        <v>134</v>
      </c>
      <c r="G12" s="4" t="s">
        <v>137</v>
      </c>
      <c r="H12" s="33" t="s">
        <v>147</v>
      </c>
      <c r="P12" s="21"/>
      <c r="S12" s="35" t="s">
        <v>140</v>
      </c>
      <c r="T12" s="35" t="s">
        <v>142</v>
      </c>
      <c r="U12" s="35" t="s">
        <v>141</v>
      </c>
    </row>
    <row r="13" spans="1:22" x14ac:dyDescent="0.3">
      <c r="A13" s="4" t="s">
        <v>19</v>
      </c>
      <c r="B13" s="4">
        <v>6</v>
      </c>
      <c r="C13" s="4" t="s">
        <v>20</v>
      </c>
      <c r="D13" s="5">
        <v>45979</v>
      </c>
      <c r="E13" s="6">
        <v>14.688000000000001</v>
      </c>
      <c r="F13" s="20" t="s">
        <v>135</v>
      </c>
      <c r="G13" s="20" t="s">
        <v>132</v>
      </c>
      <c r="H13" s="33" t="s">
        <v>145</v>
      </c>
      <c r="P13" s="21"/>
      <c r="S13" s="36"/>
      <c r="T13" s="36"/>
      <c r="U13" s="36"/>
    </row>
    <row r="14" spans="1:22" x14ac:dyDescent="0.3">
      <c r="A14" s="4" t="s">
        <v>19</v>
      </c>
      <c r="B14" s="4">
        <v>7</v>
      </c>
      <c r="C14" s="4" t="s">
        <v>21</v>
      </c>
      <c r="D14" s="5">
        <v>45979</v>
      </c>
      <c r="E14" s="6">
        <v>20.617999999999999</v>
      </c>
      <c r="F14" s="20" t="s">
        <v>135</v>
      </c>
      <c r="G14" s="20" t="s">
        <v>132</v>
      </c>
      <c r="H14" s="33" t="s">
        <v>145</v>
      </c>
      <c r="P14" s="21"/>
      <c r="S14" s="36"/>
      <c r="T14" s="36"/>
      <c r="U14" s="36"/>
    </row>
    <row r="15" spans="1:22" x14ac:dyDescent="0.3">
      <c r="A15" s="4" t="s">
        <v>19</v>
      </c>
      <c r="B15" s="4">
        <v>8</v>
      </c>
      <c r="C15" s="4" t="s">
        <v>22</v>
      </c>
      <c r="D15" s="5">
        <v>45979</v>
      </c>
      <c r="E15" s="6">
        <v>8.1982999999999997</v>
      </c>
      <c r="F15" s="20" t="s">
        <v>135</v>
      </c>
      <c r="G15" s="20" t="s">
        <v>132</v>
      </c>
      <c r="H15" s="33" t="s">
        <v>145</v>
      </c>
      <c r="P15" s="21"/>
      <c r="Q15" s="21"/>
      <c r="R15" s="21"/>
      <c r="S15" s="36"/>
      <c r="T15" s="36"/>
      <c r="U15" s="36"/>
    </row>
    <row r="16" spans="1:22" x14ac:dyDescent="0.3">
      <c r="A16" s="4" t="s">
        <v>19</v>
      </c>
      <c r="B16" s="4">
        <v>9</v>
      </c>
      <c r="C16" s="4" t="s">
        <v>23</v>
      </c>
      <c r="D16" s="5">
        <v>45979</v>
      </c>
      <c r="E16" s="6">
        <v>39.485999999999997</v>
      </c>
      <c r="F16" s="20" t="s">
        <v>135</v>
      </c>
      <c r="G16" s="20" t="s">
        <v>132</v>
      </c>
      <c r="H16" s="33" t="s">
        <v>145</v>
      </c>
      <c r="S16" s="36"/>
      <c r="T16" s="36"/>
      <c r="U16" s="36"/>
    </row>
    <row r="17" spans="1:21" ht="19.8" x14ac:dyDescent="0.3">
      <c r="A17" s="4" t="s">
        <v>19</v>
      </c>
      <c r="B17" s="4">
        <v>10</v>
      </c>
      <c r="C17" s="4" t="s">
        <v>24</v>
      </c>
      <c r="D17" s="5">
        <v>45979</v>
      </c>
      <c r="E17" s="6">
        <v>14.315</v>
      </c>
      <c r="F17" s="20" t="s">
        <v>135</v>
      </c>
      <c r="G17" s="20" t="s">
        <v>132</v>
      </c>
      <c r="H17" s="33" t="s">
        <v>148</v>
      </c>
      <c r="K17" s="3"/>
      <c r="S17" s="36"/>
      <c r="T17" s="36"/>
      <c r="U17" s="36"/>
    </row>
    <row r="18" spans="1:21" x14ac:dyDescent="0.3">
      <c r="A18" s="4" t="s">
        <v>25</v>
      </c>
      <c r="B18" s="4">
        <v>1</v>
      </c>
      <c r="C18" s="4" t="s">
        <v>26</v>
      </c>
      <c r="D18" s="5">
        <v>45979</v>
      </c>
      <c r="E18" s="6">
        <v>41.335000000000001</v>
      </c>
      <c r="F18" s="20" t="s">
        <v>135</v>
      </c>
      <c r="G18" s="20" t="s">
        <v>132</v>
      </c>
      <c r="H18" s="33" t="s">
        <v>145</v>
      </c>
    </row>
    <row r="19" spans="1:21" x14ac:dyDescent="0.3">
      <c r="A19" s="4" t="s">
        <v>25</v>
      </c>
      <c r="B19" s="4">
        <v>2</v>
      </c>
      <c r="C19" s="4" t="s">
        <v>27</v>
      </c>
      <c r="D19" s="5">
        <v>45979</v>
      </c>
      <c r="E19" s="6">
        <v>18.302</v>
      </c>
      <c r="F19" s="20" t="s">
        <v>135</v>
      </c>
      <c r="G19" s="20" t="s">
        <v>132</v>
      </c>
      <c r="H19" s="33" t="s">
        <v>145</v>
      </c>
    </row>
    <row r="20" spans="1:21" x14ac:dyDescent="0.3">
      <c r="A20" s="4" t="s">
        <v>25</v>
      </c>
      <c r="B20" s="4">
        <v>3</v>
      </c>
      <c r="C20" s="4" t="s">
        <v>28</v>
      </c>
      <c r="D20" s="5">
        <v>45979</v>
      </c>
      <c r="E20" s="6">
        <v>12.186999999999999</v>
      </c>
      <c r="F20" s="20" t="s">
        <v>135</v>
      </c>
      <c r="G20" s="20" t="s">
        <v>132</v>
      </c>
      <c r="H20" s="33" t="s">
        <v>145</v>
      </c>
    </row>
    <row r="21" spans="1:21" x14ac:dyDescent="0.3">
      <c r="A21" s="4" t="s">
        <v>25</v>
      </c>
      <c r="B21" s="4">
        <v>4</v>
      </c>
      <c r="C21" s="4" t="s">
        <v>29</v>
      </c>
      <c r="D21" s="5">
        <v>45979</v>
      </c>
      <c r="E21" s="6">
        <v>14.22</v>
      </c>
      <c r="F21" s="4" t="s">
        <v>134</v>
      </c>
      <c r="G21" s="4" t="s">
        <v>137</v>
      </c>
      <c r="H21" s="33" t="s">
        <v>147</v>
      </c>
    </row>
    <row r="22" spans="1:21" x14ac:dyDescent="0.3">
      <c r="A22" s="4" t="s">
        <v>25</v>
      </c>
      <c r="B22" s="4">
        <v>5</v>
      </c>
      <c r="C22" s="4" t="s">
        <v>30</v>
      </c>
      <c r="D22" s="5">
        <v>45979</v>
      </c>
      <c r="E22" s="6">
        <v>6.6341000000000001</v>
      </c>
      <c r="F22" s="20" t="s">
        <v>135</v>
      </c>
      <c r="G22" s="20" t="s">
        <v>132</v>
      </c>
      <c r="H22" s="33" t="s">
        <v>145</v>
      </c>
    </row>
    <row r="23" spans="1:21" x14ac:dyDescent="0.3">
      <c r="A23" s="4" t="s">
        <v>31</v>
      </c>
      <c r="B23" s="4">
        <v>6</v>
      </c>
      <c r="C23" s="4" t="s">
        <v>32</v>
      </c>
      <c r="D23" s="5">
        <v>45979</v>
      </c>
      <c r="E23" s="6">
        <v>10.215999999999999</v>
      </c>
      <c r="F23" s="4" t="s">
        <v>134</v>
      </c>
      <c r="G23" s="4" t="s">
        <v>137</v>
      </c>
      <c r="H23" s="33" t="s">
        <v>147</v>
      </c>
    </row>
    <row r="24" spans="1:21" x14ac:dyDescent="0.3">
      <c r="A24" s="4" t="s">
        <v>31</v>
      </c>
      <c r="B24" s="4">
        <v>7</v>
      </c>
      <c r="C24" s="4" t="s">
        <v>33</v>
      </c>
      <c r="D24" s="5">
        <v>45979</v>
      </c>
      <c r="E24" s="6">
        <v>38.393000000000001</v>
      </c>
      <c r="F24" s="4" t="s">
        <v>134</v>
      </c>
      <c r="G24" s="4" t="s">
        <v>137</v>
      </c>
      <c r="H24" s="33" t="s">
        <v>147</v>
      </c>
    </row>
    <row r="25" spans="1:21" x14ac:dyDescent="0.3">
      <c r="A25" s="4" t="s">
        <v>31</v>
      </c>
      <c r="B25" s="4">
        <v>8</v>
      </c>
      <c r="C25" s="4" t="s">
        <v>34</v>
      </c>
      <c r="D25" s="5">
        <v>45979</v>
      </c>
      <c r="E25" s="6">
        <v>34.686</v>
      </c>
      <c r="F25" s="4" t="s">
        <v>134</v>
      </c>
      <c r="G25" s="4" t="s">
        <v>137</v>
      </c>
      <c r="H25" s="33" t="s">
        <v>147</v>
      </c>
    </row>
    <row r="26" spans="1:21" x14ac:dyDescent="0.3">
      <c r="A26" s="4" t="s">
        <v>31</v>
      </c>
      <c r="B26" s="4">
        <v>9</v>
      </c>
      <c r="C26" s="4" t="s">
        <v>35</v>
      </c>
      <c r="D26" s="5">
        <v>45979</v>
      </c>
      <c r="E26" s="6">
        <v>29.677</v>
      </c>
      <c r="F26" s="4" t="s">
        <v>134</v>
      </c>
      <c r="G26" s="4" t="s">
        <v>137</v>
      </c>
      <c r="H26" s="33" t="s">
        <v>147</v>
      </c>
    </row>
    <row r="27" spans="1:21" ht="15" thickBot="1" x14ac:dyDescent="0.35">
      <c r="A27" s="7" t="s">
        <v>31</v>
      </c>
      <c r="B27" s="7">
        <v>10</v>
      </c>
      <c r="C27" s="7" t="s">
        <v>36</v>
      </c>
      <c r="D27" s="8">
        <v>45979</v>
      </c>
      <c r="E27" s="9">
        <v>11.997999999999999</v>
      </c>
      <c r="F27" s="7" t="s">
        <v>134</v>
      </c>
      <c r="G27" s="7" t="s">
        <v>137</v>
      </c>
      <c r="H27" s="33" t="s">
        <v>147</v>
      </c>
    </row>
    <row r="28" spans="1:21" x14ac:dyDescent="0.3">
      <c r="A28" s="10" t="s">
        <v>37</v>
      </c>
      <c r="B28" s="10">
        <v>1</v>
      </c>
      <c r="C28" s="10" t="s">
        <v>38</v>
      </c>
      <c r="D28" s="11">
        <v>45979</v>
      </c>
      <c r="E28" s="12">
        <v>14.379</v>
      </c>
      <c r="F28" s="10" t="s">
        <v>134</v>
      </c>
      <c r="G28" s="10" t="s">
        <v>137</v>
      </c>
      <c r="H28" s="33" t="s">
        <v>147</v>
      </c>
      <c r="P28" s="18" t="s">
        <v>139</v>
      </c>
      <c r="R28" t="s">
        <v>123</v>
      </c>
      <c r="S28">
        <f>16*8*2.5</f>
        <v>320</v>
      </c>
    </row>
    <row r="29" spans="1:21" x14ac:dyDescent="0.3">
      <c r="A29" s="4" t="s">
        <v>37</v>
      </c>
      <c r="B29" s="4">
        <v>2</v>
      </c>
      <c r="C29" s="4" t="s">
        <v>39</v>
      </c>
      <c r="D29" s="5">
        <v>45979</v>
      </c>
      <c r="E29" s="6">
        <v>25.882000000000001</v>
      </c>
      <c r="F29" s="4" t="s">
        <v>134</v>
      </c>
      <c r="G29" s="4" t="s">
        <v>137</v>
      </c>
      <c r="H29" s="33" t="s">
        <v>147</v>
      </c>
      <c r="P29" t="s">
        <v>130</v>
      </c>
      <c r="R29" t="s">
        <v>124</v>
      </c>
      <c r="S29">
        <f>16*8*0.08</f>
        <v>10.24</v>
      </c>
    </row>
    <row r="30" spans="1:21" x14ac:dyDescent="0.3">
      <c r="A30" s="4" t="s">
        <v>37</v>
      </c>
      <c r="B30" s="4">
        <v>3</v>
      </c>
      <c r="C30" s="4" t="s">
        <v>40</v>
      </c>
      <c r="D30" s="5">
        <v>45979</v>
      </c>
      <c r="E30" s="6">
        <v>5.7785000000000002</v>
      </c>
      <c r="F30" s="4" t="s">
        <v>134</v>
      </c>
      <c r="G30" s="4" t="s">
        <v>137</v>
      </c>
      <c r="H30" s="33" t="s">
        <v>147</v>
      </c>
      <c r="P30" t="s">
        <v>131</v>
      </c>
      <c r="R30" t="s">
        <v>125</v>
      </c>
      <c r="S30">
        <v>38</v>
      </c>
    </row>
    <row r="31" spans="1:21" x14ac:dyDescent="0.3">
      <c r="A31" s="4" t="s">
        <v>37</v>
      </c>
      <c r="B31" s="4">
        <v>4</v>
      </c>
      <c r="C31" s="4" t="s">
        <v>41</v>
      </c>
      <c r="D31" s="5">
        <v>45979</v>
      </c>
      <c r="E31" s="6">
        <v>70.953000000000003</v>
      </c>
      <c r="F31" s="4" t="s">
        <v>134</v>
      </c>
      <c r="G31" s="4" t="s">
        <v>137</v>
      </c>
      <c r="H31" s="33" t="s">
        <v>147</v>
      </c>
      <c r="P31" t="s">
        <v>128</v>
      </c>
    </row>
    <row r="32" spans="1:21" x14ac:dyDescent="0.3">
      <c r="A32" s="4" t="s">
        <v>37</v>
      </c>
      <c r="B32" s="4">
        <v>5</v>
      </c>
      <c r="C32" s="4" t="s">
        <v>42</v>
      </c>
      <c r="D32" s="5">
        <v>45979</v>
      </c>
      <c r="E32" s="6">
        <v>45.9</v>
      </c>
      <c r="F32" s="4" t="s">
        <v>134</v>
      </c>
      <c r="G32" s="4" t="s">
        <v>137</v>
      </c>
      <c r="H32" s="33" t="s">
        <v>147</v>
      </c>
      <c r="P32" t="s">
        <v>129</v>
      </c>
    </row>
    <row r="33" spans="1:26" ht="15" thickBot="1" x14ac:dyDescent="0.35">
      <c r="A33" s="4" t="s">
        <v>43</v>
      </c>
      <c r="B33" s="4">
        <v>6</v>
      </c>
      <c r="C33" s="4" t="s">
        <v>44</v>
      </c>
      <c r="D33" s="5">
        <v>45979</v>
      </c>
      <c r="E33" s="6">
        <v>15.499000000000001</v>
      </c>
      <c r="F33" s="20" t="s">
        <v>135</v>
      </c>
      <c r="G33" s="20" t="s">
        <v>132</v>
      </c>
      <c r="H33" s="33" t="s">
        <v>145</v>
      </c>
      <c r="P33" t="s">
        <v>126</v>
      </c>
    </row>
    <row r="34" spans="1:26" ht="15" thickBot="1" x14ac:dyDescent="0.35">
      <c r="A34" s="4" t="s">
        <v>43</v>
      </c>
      <c r="B34" s="4">
        <v>7</v>
      </c>
      <c r="C34" s="4" t="s">
        <v>45</v>
      </c>
      <c r="D34" s="5">
        <v>45979</v>
      </c>
      <c r="E34" s="6">
        <v>31.603999999999999</v>
      </c>
      <c r="F34" s="20" t="s">
        <v>135</v>
      </c>
      <c r="G34" s="20" t="s">
        <v>132</v>
      </c>
      <c r="H34" s="33" t="s">
        <v>145</v>
      </c>
      <c r="P34" t="s">
        <v>127</v>
      </c>
      <c r="X34" s="1" t="s">
        <v>79</v>
      </c>
      <c r="Y34" s="1" t="s">
        <v>80</v>
      </c>
      <c r="Z34" s="1" t="s">
        <v>81</v>
      </c>
    </row>
    <row r="35" spans="1:26" ht="21" thickBot="1" x14ac:dyDescent="0.35">
      <c r="A35" s="4" t="s">
        <v>43</v>
      </c>
      <c r="B35" s="4">
        <v>8</v>
      </c>
      <c r="C35" s="4" t="s">
        <v>46</v>
      </c>
      <c r="D35" s="5">
        <v>45979</v>
      </c>
      <c r="E35" s="6">
        <v>32.981999999999999</v>
      </c>
      <c r="F35" s="20" t="s">
        <v>135</v>
      </c>
      <c r="G35" s="20" t="s">
        <v>132</v>
      </c>
      <c r="H35" s="33" t="s">
        <v>145</v>
      </c>
      <c r="X35" s="2" t="s">
        <v>82</v>
      </c>
      <c r="Y35" s="2" t="s">
        <v>83</v>
      </c>
      <c r="Z35" s="2" t="s">
        <v>84</v>
      </c>
    </row>
    <row r="36" spans="1:26" ht="21" thickBot="1" x14ac:dyDescent="0.35">
      <c r="A36" s="4" t="s">
        <v>43</v>
      </c>
      <c r="B36" s="4">
        <v>9</v>
      </c>
      <c r="C36" s="4" t="s">
        <v>47</v>
      </c>
      <c r="D36" s="5">
        <v>45979</v>
      </c>
      <c r="E36" s="6">
        <v>37.713999999999999</v>
      </c>
      <c r="F36" s="20" t="s">
        <v>135</v>
      </c>
      <c r="G36" s="20" t="s">
        <v>132</v>
      </c>
      <c r="H36" s="33" t="s">
        <v>145</v>
      </c>
      <c r="X36" s="1" t="s">
        <v>85</v>
      </c>
      <c r="Y36" s="1" t="s">
        <v>86</v>
      </c>
      <c r="Z36" s="1" t="s">
        <v>84</v>
      </c>
    </row>
    <row r="37" spans="1:26" ht="21" thickBot="1" x14ac:dyDescent="0.35">
      <c r="A37" s="4" t="s">
        <v>43</v>
      </c>
      <c r="B37" s="4">
        <v>10</v>
      </c>
      <c r="C37" s="4" t="s">
        <v>48</v>
      </c>
      <c r="D37" s="5">
        <v>45979</v>
      </c>
      <c r="E37" s="6">
        <v>28.943999999999999</v>
      </c>
      <c r="F37" s="20" t="s">
        <v>135</v>
      </c>
      <c r="G37" s="20" t="s">
        <v>132</v>
      </c>
      <c r="H37" s="33" t="s">
        <v>145</v>
      </c>
      <c r="X37" s="2" t="s">
        <v>87</v>
      </c>
      <c r="Y37" s="2" t="s">
        <v>88</v>
      </c>
      <c r="Z37" s="2" t="s">
        <v>84</v>
      </c>
    </row>
    <row r="38" spans="1:26" ht="21" thickBot="1" x14ac:dyDescent="0.35">
      <c r="A38" s="4" t="s">
        <v>49</v>
      </c>
      <c r="B38" s="4">
        <v>1</v>
      </c>
      <c r="C38" s="4" t="s">
        <v>50</v>
      </c>
      <c r="D38" s="5">
        <v>45979</v>
      </c>
      <c r="E38" s="6">
        <v>7.5240999999999998</v>
      </c>
      <c r="F38" s="20" t="s">
        <v>135</v>
      </c>
      <c r="G38" s="20" t="s">
        <v>132</v>
      </c>
      <c r="H38" s="33" t="s">
        <v>145</v>
      </c>
      <c r="X38" s="1" t="s">
        <v>89</v>
      </c>
      <c r="Y38" s="1" t="s">
        <v>90</v>
      </c>
      <c r="Z38" s="1" t="s">
        <v>91</v>
      </c>
    </row>
    <row r="39" spans="1:26" ht="21" thickBot="1" x14ac:dyDescent="0.35">
      <c r="A39" s="4" t="s">
        <v>49</v>
      </c>
      <c r="B39" s="4">
        <v>2</v>
      </c>
      <c r="C39" s="4" t="s">
        <v>51</v>
      </c>
      <c r="D39" s="5">
        <v>45979</v>
      </c>
      <c r="E39" s="6">
        <v>11.138</v>
      </c>
      <c r="F39" s="20" t="s">
        <v>135</v>
      </c>
      <c r="G39" s="20" t="s">
        <v>132</v>
      </c>
      <c r="H39" s="33" t="s">
        <v>145</v>
      </c>
      <c r="X39" s="2" t="s">
        <v>92</v>
      </c>
      <c r="Y39" s="2" t="s">
        <v>93</v>
      </c>
      <c r="Z39" s="2" t="s">
        <v>91</v>
      </c>
    </row>
    <row r="40" spans="1:26" ht="31.2" thickBot="1" x14ac:dyDescent="0.35">
      <c r="A40" s="4" t="s">
        <v>49</v>
      </c>
      <c r="B40" s="4">
        <v>3</v>
      </c>
      <c r="C40" s="4" t="s">
        <v>52</v>
      </c>
      <c r="D40" s="5">
        <v>45979</v>
      </c>
      <c r="E40" s="6">
        <v>5.1313000000000004</v>
      </c>
      <c r="F40" s="20" t="s">
        <v>135</v>
      </c>
      <c r="G40" s="20" t="s">
        <v>132</v>
      </c>
      <c r="H40" s="33" t="s">
        <v>145</v>
      </c>
      <c r="X40" s="1" t="s">
        <v>94</v>
      </c>
      <c r="Y40" s="1" t="s">
        <v>95</v>
      </c>
      <c r="Z40" s="1" t="s">
        <v>91</v>
      </c>
    </row>
    <row r="41" spans="1:26" ht="21" thickBot="1" x14ac:dyDescent="0.35">
      <c r="A41" s="4" t="s">
        <v>49</v>
      </c>
      <c r="B41" s="4">
        <v>4</v>
      </c>
      <c r="C41" s="4" t="s">
        <v>53</v>
      </c>
      <c r="D41" s="5">
        <v>45979</v>
      </c>
      <c r="E41" s="6">
        <v>9.1986000000000008</v>
      </c>
      <c r="F41" s="20" t="s">
        <v>135</v>
      </c>
      <c r="G41" s="20" t="s">
        <v>132</v>
      </c>
      <c r="H41" s="33" t="s">
        <v>145</v>
      </c>
      <c r="X41" s="2" t="s">
        <v>96</v>
      </c>
      <c r="Y41" s="2" t="s">
        <v>97</v>
      </c>
      <c r="Z41" s="2" t="s">
        <v>98</v>
      </c>
    </row>
    <row r="42" spans="1:26" ht="21" thickBot="1" x14ac:dyDescent="0.35">
      <c r="A42" s="4" t="s">
        <v>49</v>
      </c>
      <c r="B42" s="4">
        <v>5</v>
      </c>
      <c r="C42" s="4" t="s">
        <v>54</v>
      </c>
      <c r="D42" s="5">
        <v>45979</v>
      </c>
      <c r="E42" s="6">
        <v>28.635000000000002</v>
      </c>
      <c r="F42" s="20" t="s">
        <v>135</v>
      </c>
      <c r="G42" s="20" t="s">
        <v>132</v>
      </c>
      <c r="H42" s="33" t="s">
        <v>145</v>
      </c>
      <c r="X42" s="1" t="s">
        <v>99</v>
      </c>
      <c r="Y42" s="1" t="s">
        <v>100</v>
      </c>
      <c r="Z42" s="1" t="s">
        <v>98</v>
      </c>
    </row>
    <row r="43" spans="1:26" ht="21" thickBot="1" x14ac:dyDescent="0.35">
      <c r="A43" s="4" t="s">
        <v>55</v>
      </c>
      <c r="B43" s="4">
        <v>1</v>
      </c>
      <c r="C43" s="4" t="s">
        <v>56</v>
      </c>
      <c r="D43" s="5">
        <v>45979</v>
      </c>
      <c r="E43" s="6">
        <v>19.02</v>
      </c>
      <c r="F43" s="20" t="s">
        <v>135</v>
      </c>
      <c r="G43" s="20" t="s">
        <v>132</v>
      </c>
      <c r="H43" s="33" t="s">
        <v>145</v>
      </c>
      <c r="X43" s="2" t="s">
        <v>101</v>
      </c>
      <c r="Y43" s="2" t="s">
        <v>102</v>
      </c>
      <c r="Z43" s="2" t="s">
        <v>98</v>
      </c>
    </row>
    <row r="44" spans="1:26" ht="21" thickBot="1" x14ac:dyDescent="0.35">
      <c r="A44" s="4" t="s">
        <v>55</v>
      </c>
      <c r="B44" s="4">
        <v>2</v>
      </c>
      <c r="C44" s="4" t="s">
        <v>57</v>
      </c>
      <c r="D44" s="5">
        <v>45979</v>
      </c>
      <c r="E44" s="6">
        <v>19.035</v>
      </c>
      <c r="F44" s="20" t="s">
        <v>135</v>
      </c>
      <c r="G44" s="20" t="s">
        <v>132</v>
      </c>
      <c r="H44" s="33" t="s">
        <v>145</v>
      </c>
      <c r="X44" s="1" t="s">
        <v>103</v>
      </c>
      <c r="Y44" s="1" t="s">
        <v>104</v>
      </c>
      <c r="Z44" s="1" t="s">
        <v>105</v>
      </c>
    </row>
    <row r="45" spans="1:26" ht="31.2" thickBot="1" x14ac:dyDescent="0.35">
      <c r="A45" s="4" t="s">
        <v>55</v>
      </c>
      <c r="B45" s="4">
        <v>3</v>
      </c>
      <c r="C45" s="4" t="s">
        <v>58</v>
      </c>
      <c r="D45" s="5">
        <v>45979</v>
      </c>
      <c r="E45" s="6">
        <v>20.837</v>
      </c>
      <c r="F45" s="20" t="s">
        <v>135</v>
      </c>
      <c r="G45" s="20" t="s">
        <v>132</v>
      </c>
      <c r="H45" s="33" t="s">
        <v>145</v>
      </c>
      <c r="X45" s="2" t="s">
        <v>106</v>
      </c>
      <c r="Y45" s="2" t="s">
        <v>107</v>
      </c>
      <c r="Z45" s="2" t="s">
        <v>105</v>
      </c>
    </row>
    <row r="46" spans="1:26" ht="21" thickBot="1" x14ac:dyDescent="0.35">
      <c r="A46" s="4" t="s">
        <v>55</v>
      </c>
      <c r="B46" s="4">
        <v>4</v>
      </c>
      <c r="C46" s="4" t="s">
        <v>59</v>
      </c>
      <c r="D46" s="5">
        <v>45979</v>
      </c>
      <c r="E46" s="6">
        <v>17.053999999999998</v>
      </c>
      <c r="F46" s="20" t="s">
        <v>135</v>
      </c>
      <c r="G46" s="20" t="s">
        <v>132</v>
      </c>
      <c r="H46" s="33" t="s">
        <v>145</v>
      </c>
      <c r="X46" s="1" t="s">
        <v>108</v>
      </c>
      <c r="Y46" s="1" t="s">
        <v>109</v>
      </c>
      <c r="Z46" s="1" t="s">
        <v>105</v>
      </c>
    </row>
    <row r="47" spans="1:26" x14ac:dyDescent="0.3">
      <c r="A47" s="4" t="s">
        <v>55</v>
      </c>
      <c r="B47" s="4">
        <v>5</v>
      </c>
      <c r="C47" s="4" t="s">
        <v>60</v>
      </c>
      <c r="D47" s="5">
        <v>45979</v>
      </c>
      <c r="E47" s="6">
        <v>31.478999999999999</v>
      </c>
      <c r="F47" s="20" t="s">
        <v>135</v>
      </c>
      <c r="G47" s="20" t="s">
        <v>132</v>
      </c>
      <c r="H47" s="33" t="s">
        <v>145</v>
      </c>
    </row>
    <row r="48" spans="1:26" x14ac:dyDescent="0.3">
      <c r="A48" s="4" t="s">
        <v>61</v>
      </c>
      <c r="B48" s="4">
        <v>6</v>
      </c>
      <c r="C48" s="4" t="s">
        <v>62</v>
      </c>
      <c r="D48" s="5">
        <v>45979</v>
      </c>
      <c r="E48" s="6">
        <v>29.189</v>
      </c>
      <c r="F48" s="4" t="s">
        <v>134</v>
      </c>
      <c r="G48" s="4" t="s">
        <v>137</v>
      </c>
      <c r="H48" s="33" t="s">
        <v>147</v>
      </c>
    </row>
    <row r="49" spans="1:8" x14ac:dyDescent="0.3">
      <c r="A49" s="4" t="s">
        <v>61</v>
      </c>
      <c r="B49" s="4">
        <v>7</v>
      </c>
      <c r="C49" s="4" t="s">
        <v>63</v>
      </c>
      <c r="D49" s="5">
        <v>45979</v>
      </c>
      <c r="E49" s="6">
        <v>44.21</v>
      </c>
      <c r="F49" s="4" t="s">
        <v>134</v>
      </c>
      <c r="G49" s="4" t="s">
        <v>137</v>
      </c>
      <c r="H49" s="33" t="s">
        <v>147</v>
      </c>
    </row>
    <row r="50" spans="1:8" x14ac:dyDescent="0.3">
      <c r="A50" s="4" t="s">
        <v>61</v>
      </c>
      <c r="B50" s="4">
        <v>8</v>
      </c>
      <c r="C50" s="4" t="s">
        <v>64</v>
      </c>
      <c r="D50" s="5">
        <v>45979</v>
      </c>
      <c r="E50" s="6">
        <v>69.064999999999998</v>
      </c>
      <c r="F50" s="4" t="s">
        <v>134</v>
      </c>
      <c r="G50" s="4" t="s">
        <v>137</v>
      </c>
      <c r="H50" s="33" t="s">
        <v>147</v>
      </c>
    </row>
    <row r="51" spans="1:8" x14ac:dyDescent="0.3">
      <c r="A51" s="4" t="s">
        <v>61</v>
      </c>
      <c r="B51" s="4">
        <v>9</v>
      </c>
      <c r="C51" s="4" t="s">
        <v>65</v>
      </c>
      <c r="D51" s="5">
        <v>45979</v>
      </c>
      <c r="E51" s="6">
        <v>19.588999999999999</v>
      </c>
      <c r="F51" s="4" t="s">
        <v>134</v>
      </c>
      <c r="G51" s="4" t="s">
        <v>137</v>
      </c>
      <c r="H51" s="33" t="s">
        <v>147</v>
      </c>
    </row>
    <row r="52" spans="1:8" x14ac:dyDescent="0.3">
      <c r="A52" s="4" t="s">
        <v>61</v>
      </c>
      <c r="B52" s="4">
        <v>10</v>
      </c>
      <c r="C52" s="4" t="s">
        <v>66</v>
      </c>
      <c r="D52" s="5">
        <v>45979</v>
      </c>
      <c r="E52" s="6">
        <v>33.32</v>
      </c>
      <c r="F52" s="4" t="s">
        <v>134</v>
      </c>
      <c r="G52" s="4" t="s">
        <v>137</v>
      </c>
      <c r="H52" s="33" t="s">
        <v>147</v>
      </c>
    </row>
    <row r="53" spans="1:8" x14ac:dyDescent="0.3">
      <c r="A53" s="4" t="s">
        <v>67</v>
      </c>
      <c r="B53" s="4">
        <v>6</v>
      </c>
      <c r="C53" s="4" t="s">
        <v>68</v>
      </c>
      <c r="D53" s="5">
        <v>45979</v>
      </c>
      <c r="E53" s="6">
        <v>14.513999999999999</v>
      </c>
      <c r="F53" s="19" t="s">
        <v>135</v>
      </c>
      <c r="G53" s="19" t="s">
        <v>133</v>
      </c>
      <c r="H53" s="33" t="s">
        <v>146</v>
      </c>
    </row>
    <row r="54" spans="1:8" x14ac:dyDescent="0.3">
      <c r="A54" s="4" t="s">
        <v>67</v>
      </c>
      <c r="B54" s="4">
        <v>7</v>
      </c>
      <c r="C54" s="4" t="s">
        <v>69</v>
      </c>
      <c r="D54" s="5">
        <v>45979</v>
      </c>
      <c r="E54" s="6">
        <v>18.86</v>
      </c>
      <c r="F54" s="19" t="s">
        <v>135</v>
      </c>
      <c r="G54" s="19" t="s">
        <v>133</v>
      </c>
      <c r="H54" s="33" t="s">
        <v>146</v>
      </c>
    </row>
    <row r="55" spans="1:8" x14ac:dyDescent="0.3">
      <c r="A55" s="4" t="s">
        <v>67</v>
      </c>
      <c r="B55" s="4">
        <v>8</v>
      </c>
      <c r="C55" s="4" t="s">
        <v>70</v>
      </c>
      <c r="D55" s="5">
        <v>45979</v>
      </c>
      <c r="E55" s="6">
        <v>23.158000000000001</v>
      </c>
      <c r="F55" s="19" t="s">
        <v>135</v>
      </c>
      <c r="G55" s="19" t="s">
        <v>133</v>
      </c>
      <c r="H55" s="33" t="s">
        <v>146</v>
      </c>
    </row>
    <row r="56" spans="1:8" x14ac:dyDescent="0.3">
      <c r="A56" s="4" t="s">
        <v>67</v>
      </c>
      <c r="B56" s="4">
        <v>9</v>
      </c>
      <c r="C56" s="4" t="s">
        <v>71</v>
      </c>
      <c r="D56" s="5">
        <v>45979</v>
      </c>
      <c r="E56" s="6">
        <v>7.4284999999999997</v>
      </c>
      <c r="F56" s="19" t="s">
        <v>135</v>
      </c>
      <c r="G56" s="19" t="s">
        <v>133</v>
      </c>
      <c r="H56" s="33" t="s">
        <v>146</v>
      </c>
    </row>
    <row r="57" spans="1:8" x14ac:dyDescent="0.3">
      <c r="A57" s="30" t="s">
        <v>67</v>
      </c>
      <c r="B57" s="4">
        <v>10</v>
      </c>
      <c r="C57" s="4" t="s">
        <v>72</v>
      </c>
      <c r="D57" s="5">
        <v>45979</v>
      </c>
      <c r="E57" s="6">
        <v>18.503</v>
      </c>
      <c r="F57" s="19" t="s">
        <v>134</v>
      </c>
      <c r="G57" s="19" t="s">
        <v>137</v>
      </c>
      <c r="H57" s="33" t="s">
        <v>143</v>
      </c>
    </row>
    <row r="58" spans="1:8" x14ac:dyDescent="0.3">
      <c r="A58" s="4" t="s">
        <v>73</v>
      </c>
      <c r="B58" s="4">
        <v>6</v>
      </c>
      <c r="C58" s="4" t="s">
        <v>74</v>
      </c>
      <c r="D58" s="5">
        <v>45979</v>
      </c>
      <c r="E58" s="6">
        <v>29.088999999999999</v>
      </c>
      <c r="F58" s="4" t="s">
        <v>134</v>
      </c>
      <c r="G58" s="4" t="s">
        <v>137</v>
      </c>
      <c r="H58" s="33" t="s">
        <v>147</v>
      </c>
    </row>
    <row r="59" spans="1:8" x14ac:dyDescent="0.3">
      <c r="A59" s="4" t="s">
        <v>73</v>
      </c>
      <c r="B59" s="4">
        <v>7</v>
      </c>
      <c r="C59" s="4" t="s">
        <v>75</v>
      </c>
      <c r="D59" s="5">
        <v>45979</v>
      </c>
      <c r="E59" s="6">
        <v>18.262</v>
      </c>
      <c r="F59" s="4" t="s">
        <v>134</v>
      </c>
      <c r="G59" s="4" t="s">
        <v>137</v>
      </c>
      <c r="H59" s="33" t="s">
        <v>147</v>
      </c>
    </row>
    <row r="60" spans="1:8" x14ac:dyDescent="0.3">
      <c r="A60" s="4" t="s">
        <v>73</v>
      </c>
      <c r="B60" s="4">
        <v>8</v>
      </c>
      <c r="C60" s="4" t="s">
        <v>76</v>
      </c>
      <c r="D60" s="5">
        <v>45979</v>
      </c>
      <c r="E60" s="6">
        <v>21.109000000000002</v>
      </c>
      <c r="F60" s="4" t="s">
        <v>134</v>
      </c>
      <c r="G60" s="4" t="s">
        <v>137</v>
      </c>
      <c r="H60" s="33" t="s">
        <v>147</v>
      </c>
    </row>
    <row r="61" spans="1:8" x14ac:dyDescent="0.3">
      <c r="A61" s="4" t="s">
        <v>73</v>
      </c>
      <c r="B61" s="4">
        <v>9</v>
      </c>
      <c r="C61" s="4" t="s">
        <v>77</v>
      </c>
      <c r="D61" s="5">
        <v>45979</v>
      </c>
      <c r="E61" s="6">
        <v>18.597999999999999</v>
      </c>
      <c r="F61" s="4" t="s">
        <v>134</v>
      </c>
      <c r="G61" s="4" t="s">
        <v>137</v>
      </c>
      <c r="H61" s="33" t="s">
        <v>147</v>
      </c>
    </row>
    <row r="62" spans="1:8" x14ac:dyDescent="0.3">
      <c r="A62" s="30" t="s">
        <v>73</v>
      </c>
      <c r="B62" s="4">
        <v>10</v>
      </c>
      <c r="C62" s="4" t="s">
        <v>78</v>
      </c>
      <c r="D62" s="5">
        <v>45979</v>
      </c>
      <c r="E62" s="6">
        <v>14.146000000000001</v>
      </c>
      <c r="F62" s="19" t="s">
        <v>135</v>
      </c>
      <c r="G62" s="19" t="s">
        <v>133</v>
      </c>
      <c r="H62" s="34" t="s">
        <v>143</v>
      </c>
    </row>
  </sheetData>
  <mergeCells count="3">
    <mergeCell ref="S12:S17"/>
    <mergeCell ref="T12:T17"/>
    <mergeCell ref="U12:U17"/>
  </mergeCells>
  <phoneticPr fontId="4" type="noConversion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75EA-BDE0-4B4C-90C6-276932A41EFB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MK130_DNA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-</dc:creator>
  <cp:lastModifiedBy>Alisa Anjulie Röring</cp:lastModifiedBy>
  <dcterms:created xsi:type="dcterms:W3CDTF">2025-11-24T14:09:22Z</dcterms:created>
  <dcterms:modified xsi:type="dcterms:W3CDTF">2025-12-06T13:09:59Z</dcterms:modified>
</cp:coreProperties>
</file>